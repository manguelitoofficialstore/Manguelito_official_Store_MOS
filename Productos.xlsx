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Productos\"/>
    </mc:Choice>
  </mc:AlternateContent>
  <xr:revisionPtr revIDLastSave="0" documentId="8_{5B29F25B-B8B3-417F-9888-1865AFE0DE7D}" xr6:coauthVersionLast="47" xr6:coauthVersionMax="47" xr10:uidLastSave="{00000000-0000-0000-0000-000000000000}"/>
  <bookViews>
    <workbookView xWindow="-110" yWindow="-110" windowWidth="19420" windowHeight="10300" xr2:uid="{5267BD97-57AB-40C6-8113-44167922D77D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1" i="1" l="1"/>
  <c r="K31" i="1"/>
  <c r="I31" i="1"/>
  <c r="O35" i="1"/>
  <c r="O34" i="1"/>
  <c r="O33" i="1"/>
  <c r="K33" i="1"/>
  <c r="K34" i="1"/>
  <c r="K35" i="1"/>
  <c r="O4" i="1"/>
  <c r="O5" i="1"/>
  <c r="O6" i="1"/>
  <c r="O7" i="1"/>
  <c r="O8" i="1"/>
  <c r="O9" i="1"/>
  <c r="O10" i="1"/>
  <c r="O11" i="1"/>
  <c r="O15" i="1"/>
  <c r="O17" i="1"/>
  <c r="O18" i="1"/>
  <c r="O19" i="1"/>
  <c r="O20" i="1"/>
  <c r="O26" i="1"/>
  <c r="O27" i="1"/>
  <c r="O28" i="1"/>
  <c r="O29" i="1"/>
  <c r="O30" i="1"/>
  <c r="O32" i="1"/>
  <c r="K4" i="1"/>
  <c r="I11" i="1"/>
  <c r="K5" i="1"/>
  <c r="K6" i="1"/>
  <c r="K7" i="1"/>
  <c r="K8" i="1"/>
  <c r="K9" i="1"/>
  <c r="K10" i="1"/>
  <c r="K11" i="1"/>
  <c r="K17" i="1"/>
  <c r="K18" i="1"/>
  <c r="K19" i="1"/>
  <c r="K20" i="1"/>
  <c r="K32" i="1"/>
  <c r="I3" i="1"/>
  <c r="K3" i="1" s="1"/>
  <c r="I2" i="1"/>
  <c r="K2" i="1" s="1"/>
  <c r="I30" i="1"/>
  <c r="K30" i="1" s="1"/>
  <c r="I29" i="1"/>
  <c r="K29" i="1" s="1"/>
  <c r="I28" i="1"/>
  <c r="K28" i="1" s="1"/>
  <c r="I27" i="1"/>
  <c r="K27" i="1" s="1"/>
  <c r="I26" i="1"/>
  <c r="K26" i="1" s="1"/>
  <c r="I25" i="1"/>
  <c r="K25" i="1" s="1"/>
  <c r="I24" i="1"/>
  <c r="K24" i="1" s="1"/>
  <c r="I23" i="1"/>
  <c r="K23" i="1" s="1"/>
  <c r="I22" i="1"/>
  <c r="K22" i="1" s="1"/>
  <c r="I21" i="1"/>
  <c r="K21" i="1" s="1"/>
  <c r="I16" i="1"/>
  <c r="K16" i="1" s="1"/>
  <c r="I15" i="1"/>
  <c r="K15" i="1" s="1"/>
  <c r="I14" i="1"/>
  <c r="K14" i="1" s="1"/>
  <c r="I13" i="1"/>
  <c r="K13" i="1" s="1"/>
  <c r="I12" i="1"/>
  <c r="K12" i="1" s="1"/>
  <c r="O13" i="1" l="1"/>
  <c r="O12" i="1"/>
  <c r="O25" i="1"/>
  <c r="O3" i="1"/>
  <c r="O14" i="1"/>
  <c r="O24" i="1"/>
  <c r="O22" i="1"/>
  <c r="O23" i="1"/>
  <c r="O21" i="1"/>
  <c r="O2" i="1"/>
  <c r="O16" i="1"/>
</calcChain>
</file>

<file path=xl/sharedStrings.xml><?xml version="1.0" encoding="utf-8"?>
<sst xmlns="http://schemas.openxmlformats.org/spreadsheetml/2006/main" count="302" uniqueCount="129">
  <si>
    <t>Colección</t>
  </si>
  <si>
    <t>Oficial</t>
  </si>
  <si>
    <t>Basic</t>
  </si>
  <si>
    <t>categoria</t>
  </si>
  <si>
    <t>Ropa</t>
  </si>
  <si>
    <t>Descripción</t>
  </si>
  <si>
    <t>Talla</t>
  </si>
  <si>
    <t>Género</t>
  </si>
  <si>
    <t>Color</t>
  </si>
  <si>
    <t>Referencia</t>
  </si>
  <si>
    <t>Camiseta deportiva inspirada en Nuestra Tierra</t>
  </si>
  <si>
    <t>S</t>
  </si>
  <si>
    <t>Negra</t>
  </si>
  <si>
    <t>Costo compra</t>
  </si>
  <si>
    <t>Estampado</t>
  </si>
  <si>
    <t>Costo total</t>
  </si>
  <si>
    <t>Precio de venta</t>
  </si>
  <si>
    <t>Inventario</t>
  </si>
  <si>
    <t>O-R-CD-001-F-N-S</t>
  </si>
  <si>
    <t>M</t>
  </si>
  <si>
    <t>O-R-CD-001-H-N-S</t>
  </si>
  <si>
    <t>O-G-GR-001-N</t>
  </si>
  <si>
    <t>O-G-GR-001-B</t>
  </si>
  <si>
    <t>O-G-GR-001-G</t>
  </si>
  <si>
    <t>Accesorios</t>
  </si>
  <si>
    <t>O-I-LL-001-BA</t>
  </si>
  <si>
    <t>O-I-B-001</t>
  </si>
  <si>
    <t>Llavero Manguelito</t>
  </si>
  <si>
    <t>Bandera Manguelito</t>
  </si>
  <si>
    <t>Mujer</t>
  </si>
  <si>
    <t>Hombre</t>
  </si>
  <si>
    <t>5.35cmx3.15cm</t>
  </si>
  <si>
    <t>42cmx34cm</t>
  </si>
  <si>
    <t>O-I-T-001-N</t>
  </si>
  <si>
    <t>Item</t>
  </si>
  <si>
    <t>90cmx45cm</t>
  </si>
  <si>
    <t>Tula oficial Manguelito</t>
  </si>
  <si>
    <t>Unisex</t>
  </si>
  <si>
    <t>Blanca</t>
  </si>
  <si>
    <t>Gris</t>
  </si>
  <si>
    <t>Sueter</t>
  </si>
  <si>
    <t>Negro</t>
  </si>
  <si>
    <t>Blanco</t>
  </si>
  <si>
    <t>Azul Oscuro</t>
  </si>
  <si>
    <t>Blusa</t>
  </si>
  <si>
    <t>blanca</t>
  </si>
  <si>
    <t>Vinotinto</t>
  </si>
  <si>
    <t>Caquie</t>
  </si>
  <si>
    <t>Llavero</t>
  </si>
  <si>
    <t>Tula</t>
  </si>
  <si>
    <t>Accesorio</t>
  </si>
  <si>
    <t>Gorra</t>
  </si>
  <si>
    <t>Gorra Running</t>
  </si>
  <si>
    <t>Bandera</t>
  </si>
  <si>
    <t>subcategoría</t>
  </si>
  <si>
    <t>Camiseta</t>
  </si>
  <si>
    <t>Sueter deportivo cuello redondo</t>
  </si>
  <si>
    <t>Camiseta deportiva</t>
  </si>
  <si>
    <t>Gorra running Oficial</t>
  </si>
  <si>
    <t>Beige</t>
  </si>
  <si>
    <t>Utilidad tienda</t>
  </si>
  <si>
    <t>comision vendedor</t>
  </si>
  <si>
    <t>Vestido</t>
  </si>
  <si>
    <t>Falda</t>
  </si>
  <si>
    <t>Vestido negro</t>
  </si>
  <si>
    <t>Blusa Corean style</t>
  </si>
  <si>
    <t>Falda gris</t>
  </si>
  <si>
    <t>L</t>
  </si>
  <si>
    <t>Blanco y negro</t>
  </si>
  <si>
    <t>Gris oscuro</t>
  </si>
  <si>
    <t>Gris claro</t>
  </si>
  <si>
    <t>Gorra Sports</t>
  </si>
  <si>
    <t>B-R-S-001-N-M-H</t>
  </si>
  <si>
    <t>B-R-S-002-N-M-H</t>
  </si>
  <si>
    <t>B-R-S-002-B-M-H</t>
  </si>
  <si>
    <t>B-R-S-002-G-M-H</t>
  </si>
  <si>
    <t>B-R-S-002-A-M-H</t>
  </si>
  <si>
    <t>B-R-S-001-N-M-F</t>
  </si>
  <si>
    <t>B-R-S-002-N-S-F</t>
  </si>
  <si>
    <t>B-R-S-002-N-M-F</t>
  </si>
  <si>
    <t>B-R-S-002-B-S-F</t>
  </si>
  <si>
    <t>B-R-S-002-B-M-F</t>
  </si>
  <si>
    <t>B-R-B-001-N-S-F</t>
  </si>
  <si>
    <t>B-R-B-001-B-S-F</t>
  </si>
  <si>
    <t>B-R-B-001-G-S-F</t>
  </si>
  <si>
    <t>B-R-B-001-V-S-F</t>
  </si>
  <si>
    <t>B-R-B-001-C-S-F</t>
  </si>
  <si>
    <t>B-I-G-001-N</t>
  </si>
  <si>
    <t>B-I-G-001-B</t>
  </si>
  <si>
    <t>B-I-G-001-GO</t>
  </si>
  <si>
    <t>B-I-G-001-GC</t>
  </si>
  <si>
    <t>B-I-G-001-BE</t>
  </si>
  <si>
    <t>B-I-G-002-C</t>
  </si>
  <si>
    <t>B-R-V-001-N</t>
  </si>
  <si>
    <t>B-R-B-001-BN</t>
  </si>
  <si>
    <t>B-R-F-001-G</t>
  </si>
  <si>
    <t>"+573126791685"</t>
  </si>
  <si>
    <t>"+3105218993"</t>
  </si>
  <si>
    <t>Foto</t>
  </si>
  <si>
    <t>Camiseta_Manguelito_FS</t>
  </si>
  <si>
    <t>Camiseta_Manguelito_MM</t>
  </si>
  <si>
    <t>Gorra_Negra</t>
  </si>
  <si>
    <t>Gorra_Blanca</t>
  </si>
  <si>
    <t>Gorra_Beige</t>
  </si>
  <si>
    <t>Gorra_Caquie</t>
  </si>
  <si>
    <t>Gorra_Gris_Oscuro</t>
  </si>
  <si>
    <t>Gorra_Gris_Claro</t>
  </si>
  <si>
    <t>Gorra_Beige_Sports</t>
  </si>
  <si>
    <t>B-I-G-001-C</t>
  </si>
  <si>
    <t>Conjunto</t>
  </si>
  <si>
    <t>negro</t>
  </si>
  <si>
    <t>gris</t>
  </si>
  <si>
    <t>azul</t>
  </si>
  <si>
    <t>Sueter_negro_2</t>
  </si>
  <si>
    <t>sueter_negro_Mujer</t>
  </si>
  <si>
    <t>Deportiva_negra_F</t>
  </si>
  <si>
    <t>Deportiva_blanca_F</t>
  </si>
  <si>
    <t>Blusa_Negra</t>
  </si>
  <si>
    <t>Blusa_Gris</t>
  </si>
  <si>
    <t>Blusa_Vinotinto</t>
  </si>
  <si>
    <t>Blusa_Blanca</t>
  </si>
  <si>
    <t>Blusa_Café</t>
  </si>
  <si>
    <t>Café</t>
  </si>
  <si>
    <t>Vestido_Negri</t>
  </si>
  <si>
    <t>Llavero_001</t>
  </si>
  <si>
    <t>Tula_001</t>
  </si>
  <si>
    <t>Gorra_Blanca_Estampado</t>
  </si>
  <si>
    <t>Gorra_Gris_Oscuro_Estampado</t>
  </si>
  <si>
    <t>Gorra_Negra_Estampado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</si>
</sst>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Ubuntu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D7887-98F0-47F9-AA4C-941452BE0779}">
  <dimension ref="A1:P35"/>
  <sheetViews>
    <sheetView tabSelected="1" topLeftCell="A21" zoomScale="70" zoomScaleNormal="70" workbookViewId="0">
      <selection activeCell="A32" sqref="A32"/>
    </sheetView>
  </sheetViews>
  <sheetFormatPr baseColWidth="10" defaultRowHeight="14.5" x14ac:dyDescent="0.35"/>
  <cols>
    <col min="1" max="1" width="21.54296875" customWidth="1"/>
    <col min="2" max="3" width="10.90625" customWidth="1"/>
    <col min="5" max="5" width="40.81640625" customWidth="1"/>
    <col min="6" max="6" width="14.7265625" customWidth="1"/>
    <col min="8" max="8" width="12.26953125" customWidth="1"/>
    <col min="9" max="9" width="12.54296875" customWidth="1"/>
    <col min="10" max="11" width="10.90625" customWidth="1"/>
    <col min="12" max="12" width="13.7265625" customWidth="1"/>
    <col min="13" max="13" width="10.90625" customWidth="1"/>
    <col min="14" max="14" width="14.6328125" customWidth="1"/>
    <col min="15" max="15" width="18" customWidth="1"/>
    <col min="16" max="16" width="23.7265625" customWidth="1"/>
  </cols>
  <sheetData>
    <row r="1" spans="1:16" s="2" customFormat="1" x14ac:dyDescent="0.35">
      <c r="A1" s="2" t="s">
        <v>9</v>
      </c>
      <c r="B1" s="2" t="s">
        <v>0</v>
      </c>
      <c r="C1" s="2" t="s">
        <v>3</v>
      </c>
      <c r="D1" s="2" t="s">
        <v>54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60</v>
      </c>
      <c r="O1" s="2" t="s">
        <v>61</v>
      </c>
      <c r="P1" s="2" t="s">
        <v>98</v>
      </c>
    </row>
    <row r="2" spans="1:16" x14ac:dyDescent="0.35">
      <c r="A2" t="s">
        <v>18</v>
      </c>
      <c r="B2" t="s">
        <v>1</v>
      </c>
      <c r="C2" t="s">
        <v>4</v>
      </c>
      <c r="D2" t="s">
        <v>55</v>
      </c>
      <c r="E2" t="s">
        <v>10</v>
      </c>
      <c r="F2" t="s">
        <v>11</v>
      </c>
      <c r="G2" t="s">
        <v>29</v>
      </c>
      <c r="H2" t="s">
        <v>12</v>
      </c>
      <c r="I2">
        <f>91000/7</f>
        <v>13000</v>
      </c>
      <c r="J2">
        <v>11000</v>
      </c>
      <c r="K2">
        <f>SUM(I2:J2)</f>
        <v>24000</v>
      </c>
      <c r="L2">
        <v>32000</v>
      </c>
      <c r="M2">
        <v>1</v>
      </c>
      <c r="N2">
        <v>2000</v>
      </c>
      <c r="O2">
        <f>L2-N2-J2-I2</f>
        <v>6000</v>
      </c>
      <c r="P2" t="s">
        <v>99</v>
      </c>
    </row>
    <row r="3" spans="1:16" x14ac:dyDescent="0.35">
      <c r="A3" t="s">
        <v>20</v>
      </c>
      <c r="B3" t="s">
        <v>1</v>
      </c>
      <c r="C3" t="s">
        <v>4</v>
      </c>
      <c r="D3" t="s">
        <v>55</v>
      </c>
      <c r="E3" t="s">
        <v>10</v>
      </c>
      <c r="F3" t="s">
        <v>19</v>
      </c>
      <c r="G3" t="s">
        <v>30</v>
      </c>
      <c r="H3" t="s">
        <v>12</v>
      </c>
      <c r="I3">
        <f>91000/7</f>
        <v>13000</v>
      </c>
      <c r="J3">
        <v>11000</v>
      </c>
      <c r="K3">
        <f t="shared" ref="K3:K35" si="0">SUM(I3:J3)</f>
        <v>24000</v>
      </c>
      <c r="L3">
        <v>32000</v>
      </c>
      <c r="M3">
        <v>2</v>
      </c>
      <c r="N3">
        <v>2000</v>
      </c>
      <c r="O3">
        <f>L3-N3-J3-I3</f>
        <v>6000</v>
      </c>
      <c r="P3" t="s">
        <v>100</v>
      </c>
    </row>
    <row r="4" spans="1:16" x14ac:dyDescent="0.35">
      <c r="A4" t="s">
        <v>21</v>
      </c>
      <c r="B4" t="s">
        <v>1</v>
      </c>
      <c r="C4" t="s">
        <v>24</v>
      </c>
      <c r="D4" t="s">
        <v>51</v>
      </c>
      <c r="E4" t="s">
        <v>58</v>
      </c>
      <c r="G4" t="s">
        <v>37</v>
      </c>
      <c r="H4" t="s">
        <v>12</v>
      </c>
      <c r="I4">
        <v>7600</v>
      </c>
      <c r="J4">
        <v>3000</v>
      </c>
      <c r="K4">
        <f t="shared" si="0"/>
        <v>10600</v>
      </c>
      <c r="L4">
        <v>16000</v>
      </c>
      <c r="M4">
        <v>1</v>
      </c>
      <c r="N4">
        <v>1400</v>
      </c>
      <c r="O4">
        <f t="shared" ref="O4:O35" si="1">L4-N4-J4-I4</f>
        <v>4000</v>
      </c>
      <c r="P4" t="s">
        <v>128</v>
      </c>
    </row>
    <row r="5" spans="1:16" x14ac:dyDescent="0.35">
      <c r="A5" t="s">
        <v>22</v>
      </c>
      <c r="B5" t="s">
        <v>1</v>
      </c>
      <c r="C5" t="s">
        <v>24</v>
      </c>
      <c r="D5" t="s">
        <v>51</v>
      </c>
      <c r="E5" t="s">
        <v>58</v>
      </c>
      <c r="G5" t="s">
        <v>37</v>
      </c>
      <c r="H5" t="s">
        <v>38</v>
      </c>
      <c r="I5">
        <v>7600</v>
      </c>
      <c r="J5">
        <v>3000</v>
      </c>
      <c r="K5">
        <f t="shared" si="0"/>
        <v>10600</v>
      </c>
      <c r="L5">
        <v>16000</v>
      </c>
      <c r="M5">
        <v>1</v>
      </c>
      <c r="N5">
        <v>1400</v>
      </c>
      <c r="O5">
        <f t="shared" si="1"/>
        <v>4000</v>
      </c>
      <c r="P5" t="s">
        <v>126</v>
      </c>
    </row>
    <row r="6" spans="1:16" x14ac:dyDescent="0.35">
      <c r="A6" t="s">
        <v>23</v>
      </c>
      <c r="B6" t="s">
        <v>1</v>
      </c>
      <c r="C6" t="s">
        <v>24</v>
      </c>
      <c r="D6" t="s">
        <v>51</v>
      </c>
      <c r="E6" t="s">
        <v>58</v>
      </c>
      <c r="G6" t="s">
        <v>37</v>
      </c>
      <c r="H6" t="s">
        <v>39</v>
      </c>
      <c r="I6">
        <v>7600</v>
      </c>
      <c r="J6">
        <v>3000</v>
      </c>
      <c r="K6">
        <f t="shared" si="0"/>
        <v>10600</v>
      </c>
      <c r="L6">
        <v>16000</v>
      </c>
      <c r="M6">
        <v>1</v>
      </c>
      <c r="N6">
        <v>1400</v>
      </c>
      <c r="O6">
        <f t="shared" si="1"/>
        <v>4000</v>
      </c>
      <c r="P6" t="s">
        <v>127</v>
      </c>
    </row>
    <row r="7" spans="1:16" x14ac:dyDescent="0.35">
      <c r="A7" t="s">
        <v>25</v>
      </c>
      <c r="B7" t="s">
        <v>1</v>
      </c>
      <c r="C7" t="s">
        <v>34</v>
      </c>
      <c r="D7" t="s">
        <v>48</v>
      </c>
      <c r="E7" t="s">
        <v>27</v>
      </c>
      <c r="F7" s="1" t="s">
        <v>31</v>
      </c>
      <c r="I7">
        <v>4900</v>
      </c>
      <c r="K7">
        <f t="shared" si="0"/>
        <v>4900</v>
      </c>
      <c r="L7">
        <v>8000</v>
      </c>
      <c r="M7">
        <v>2</v>
      </c>
      <c r="N7">
        <v>1100</v>
      </c>
      <c r="O7">
        <f t="shared" si="1"/>
        <v>2000</v>
      </c>
      <c r="P7" t="s">
        <v>124</v>
      </c>
    </row>
    <row r="8" spans="1:16" x14ac:dyDescent="0.35">
      <c r="A8" t="s">
        <v>33</v>
      </c>
      <c r="B8" t="s">
        <v>1</v>
      </c>
      <c r="C8" t="s">
        <v>34</v>
      </c>
      <c r="D8" t="s">
        <v>49</v>
      </c>
      <c r="E8" t="s">
        <v>36</v>
      </c>
      <c r="F8" s="1" t="s">
        <v>32</v>
      </c>
      <c r="H8" t="s">
        <v>12</v>
      </c>
      <c r="I8">
        <v>4700</v>
      </c>
      <c r="K8">
        <f t="shared" si="0"/>
        <v>4700</v>
      </c>
      <c r="L8">
        <v>10000</v>
      </c>
      <c r="M8">
        <v>10</v>
      </c>
      <c r="N8">
        <v>300</v>
      </c>
      <c r="O8">
        <f t="shared" si="1"/>
        <v>5000</v>
      </c>
      <c r="P8" t="s">
        <v>125</v>
      </c>
    </row>
    <row r="9" spans="1:16" x14ac:dyDescent="0.35">
      <c r="A9" t="s">
        <v>26</v>
      </c>
      <c r="B9" t="s">
        <v>1</v>
      </c>
      <c r="C9" t="s">
        <v>34</v>
      </c>
      <c r="D9" t="s">
        <v>53</v>
      </c>
      <c r="E9" t="s">
        <v>28</v>
      </c>
      <c r="F9" s="1" t="s">
        <v>35</v>
      </c>
      <c r="I9">
        <v>8400</v>
      </c>
      <c r="K9">
        <f t="shared" si="0"/>
        <v>8400</v>
      </c>
      <c r="L9">
        <v>12000</v>
      </c>
      <c r="M9">
        <v>3</v>
      </c>
      <c r="N9">
        <v>0</v>
      </c>
      <c r="O9">
        <f t="shared" si="1"/>
        <v>3600</v>
      </c>
      <c r="P9" t="s">
        <v>53</v>
      </c>
    </row>
    <row r="10" spans="1:16" x14ac:dyDescent="0.35">
      <c r="A10" s="1" t="s">
        <v>72</v>
      </c>
      <c r="B10" t="s">
        <v>2</v>
      </c>
      <c r="C10" s="1" t="s">
        <v>4</v>
      </c>
      <c r="D10" s="1" t="s">
        <v>40</v>
      </c>
      <c r="E10" s="1" t="s">
        <v>56</v>
      </c>
      <c r="F10" s="1" t="s">
        <v>19</v>
      </c>
      <c r="G10" s="1" t="s">
        <v>30</v>
      </c>
      <c r="H10" s="1" t="s">
        <v>41</v>
      </c>
      <c r="I10" s="1">
        <v>13000</v>
      </c>
      <c r="K10">
        <f t="shared" si="0"/>
        <v>13000</v>
      </c>
      <c r="L10" s="1">
        <v>22000</v>
      </c>
      <c r="M10" s="1">
        <v>5</v>
      </c>
      <c r="N10" s="1">
        <v>4000</v>
      </c>
      <c r="O10">
        <f t="shared" si="1"/>
        <v>5000</v>
      </c>
      <c r="P10" t="s">
        <v>113</v>
      </c>
    </row>
    <row r="11" spans="1:16" x14ac:dyDescent="0.35">
      <c r="A11" s="1" t="s">
        <v>73</v>
      </c>
      <c r="B11" t="s">
        <v>2</v>
      </c>
      <c r="C11" s="1" t="s">
        <v>4</v>
      </c>
      <c r="D11" s="1" t="s">
        <v>40</v>
      </c>
      <c r="E11" s="1" t="s">
        <v>57</v>
      </c>
      <c r="F11" s="1" t="s">
        <v>19</v>
      </c>
      <c r="G11" s="1" t="s">
        <v>30</v>
      </c>
      <c r="H11" s="1" t="s">
        <v>41</v>
      </c>
      <c r="I11" s="1">
        <f>41000/4</f>
        <v>10250</v>
      </c>
      <c r="J11">
        <v>4500</v>
      </c>
      <c r="K11">
        <f t="shared" si="0"/>
        <v>14750</v>
      </c>
      <c r="L11" s="1">
        <v>25000</v>
      </c>
      <c r="M11" s="1">
        <v>1</v>
      </c>
      <c r="N11">
        <v>4250</v>
      </c>
      <c r="O11">
        <f t="shared" si="1"/>
        <v>6000</v>
      </c>
      <c r="P11" t="s">
        <v>110</v>
      </c>
    </row>
    <row r="12" spans="1:16" x14ac:dyDescent="0.35">
      <c r="A12" s="1" t="s">
        <v>74</v>
      </c>
      <c r="B12" t="s">
        <v>2</v>
      </c>
      <c r="C12" s="1" t="s">
        <v>4</v>
      </c>
      <c r="D12" s="1" t="s">
        <v>40</v>
      </c>
      <c r="E12" s="1" t="s">
        <v>57</v>
      </c>
      <c r="F12" s="1" t="s">
        <v>19</v>
      </c>
      <c r="G12" s="1" t="s">
        <v>30</v>
      </c>
      <c r="H12" s="1" t="s">
        <v>42</v>
      </c>
      <c r="I12" s="1">
        <f t="shared" ref="I12:I14" si="2">41000/4</f>
        <v>10250</v>
      </c>
      <c r="J12">
        <v>4500</v>
      </c>
      <c r="K12">
        <f t="shared" si="0"/>
        <v>14750</v>
      </c>
      <c r="L12" s="1">
        <v>25000</v>
      </c>
      <c r="M12" s="1">
        <v>1</v>
      </c>
      <c r="N12">
        <v>4250</v>
      </c>
      <c r="O12">
        <f t="shared" si="1"/>
        <v>6000</v>
      </c>
      <c r="P12" t="s">
        <v>45</v>
      </c>
    </row>
    <row r="13" spans="1:16" x14ac:dyDescent="0.35">
      <c r="A13" s="1" t="s">
        <v>75</v>
      </c>
      <c r="B13" t="s">
        <v>2</v>
      </c>
      <c r="C13" s="1" t="s">
        <v>4</v>
      </c>
      <c r="D13" s="1" t="s">
        <v>40</v>
      </c>
      <c r="E13" s="1" t="s">
        <v>57</v>
      </c>
      <c r="F13" s="1" t="s">
        <v>19</v>
      </c>
      <c r="G13" s="1" t="s">
        <v>30</v>
      </c>
      <c r="H13" s="1" t="s">
        <v>39</v>
      </c>
      <c r="I13" s="1">
        <f t="shared" si="2"/>
        <v>10250</v>
      </c>
      <c r="J13">
        <v>4500</v>
      </c>
      <c r="K13">
        <f t="shared" si="0"/>
        <v>14750</v>
      </c>
      <c r="L13" s="1">
        <v>25000</v>
      </c>
      <c r="M13" s="1">
        <v>1</v>
      </c>
      <c r="N13">
        <v>4250</v>
      </c>
      <c r="O13">
        <f t="shared" si="1"/>
        <v>6000</v>
      </c>
      <c r="P13" t="s">
        <v>111</v>
      </c>
    </row>
    <row r="14" spans="1:16" x14ac:dyDescent="0.35">
      <c r="A14" s="1" t="s">
        <v>76</v>
      </c>
      <c r="B14" t="s">
        <v>2</v>
      </c>
      <c r="C14" s="1" t="s">
        <v>4</v>
      </c>
      <c r="D14" s="1" t="s">
        <v>40</v>
      </c>
      <c r="E14" s="1" t="s">
        <v>57</v>
      </c>
      <c r="F14" s="1" t="s">
        <v>19</v>
      </c>
      <c r="G14" s="1" t="s">
        <v>30</v>
      </c>
      <c r="H14" s="1" t="s">
        <v>43</v>
      </c>
      <c r="I14" s="1">
        <f t="shared" si="2"/>
        <v>10250</v>
      </c>
      <c r="J14">
        <v>4500</v>
      </c>
      <c r="K14">
        <f t="shared" si="0"/>
        <v>14750</v>
      </c>
      <c r="L14" s="1">
        <v>25000</v>
      </c>
      <c r="M14" s="1">
        <v>1</v>
      </c>
      <c r="N14">
        <v>4250</v>
      </c>
      <c r="O14">
        <f t="shared" si="1"/>
        <v>6000</v>
      </c>
      <c r="P14" t="s">
        <v>112</v>
      </c>
    </row>
    <row r="15" spans="1:16" x14ac:dyDescent="0.35">
      <c r="A15" s="1" t="s">
        <v>77</v>
      </c>
      <c r="B15" t="s">
        <v>2</v>
      </c>
      <c r="C15" s="1" t="s">
        <v>4</v>
      </c>
      <c r="D15" s="1" t="s">
        <v>40</v>
      </c>
      <c r="E15" s="1" t="s">
        <v>56</v>
      </c>
      <c r="F15" s="1" t="s">
        <v>19</v>
      </c>
      <c r="G15" s="1" t="s">
        <v>29</v>
      </c>
      <c r="H15" s="1" t="s">
        <v>41</v>
      </c>
      <c r="I15" s="1">
        <f>52000/5</f>
        <v>10400</v>
      </c>
      <c r="K15">
        <f t="shared" si="0"/>
        <v>10400</v>
      </c>
      <c r="L15" s="1">
        <v>25000</v>
      </c>
      <c r="M15" s="1">
        <v>0</v>
      </c>
      <c r="N15">
        <v>4600</v>
      </c>
      <c r="O15">
        <f t="shared" si="1"/>
        <v>10000</v>
      </c>
      <c r="P15" t="s">
        <v>114</v>
      </c>
    </row>
    <row r="16" spans="1:16" x14ac:dyDescent="0.35">
      <c r="A16" s="1" t="s">
        <v>77</v>
      </c>
      <c r="B16" t="s">
        <v>2</v>
      </c>
      <c r="C16" s="1" t="s">
        <v>4</v>
      </c>
      <c r="D16" s="1" t="s">
        <v>40</v>
      </c>
      <c r="E16" s="1" t="s">
        <v>56</v>
      </c>
      <c r="F16" s="1" t="s">
        <v>11</v>
      </c>
      <c r="G16" s="1" t="s">
        <v>29</v>
      </c>
      <c r="H16" s="1" t="s">
        <v>41</v>
      </c>
      <c r="I16" s="1">
        <f>52000/5</f>
        <v>10400</v>
      </c>
      <c r="K16">
        <f t="shared" si="0"/>
        <v>10400</v>
      </c>
      <c r="L16" s="1">
        <v>25000</v>
      </c>
      <c r="M16" s="1">
        <v>4</v>
      </c>
      <c r="N16">
        <v>4600</v>
      </c>
      <c r="O16">
        <f t="shared" si="1"/>
        <v>10000</v>
      </c>
      <c r="P16" t="s">
        <v>114</v>
      </c>
    </row>
    <row r="17" spans="1:16" x14ac:dyDescent="0.35">
      <c r="A17" s="1" t="s">
        <v>78</v>
      </c>
      <c r="B17" t="s">
        <v>2</v>
      </c>
      <c r="C17" s="1" t="s">
        <v>4</v>
      </c>
      <c r="D17" s="1" t="s">
        <v>40</v>
      </c>
      <c r="E17" s="1" t="s">
        <v>57</v>
      </c>
      <c r="F17" s="1" t="s">
        <v>11</v>
      </c>
      <c r="G17" s="1" t="s">
        <v>29</v>
      </c>
      <c r="H17" s="1" t="s">
        <v>41</v>
      </c>
      <c r="I17" s="1">
        <v>22000</v>
      </c>
      <c r="K17">
        <f t="shared" si="0"/>
        <v>22000</v>
      </c>
      <c r="L17" s="1">
        <v>30000</v>
      </c>
      <c r="M17" s="1">
        <v>3</v>
      </c>
      <c r="N17" s="1">
        <v>3000</v>
      </c>
      <c r="O17">
        <f t="shared" si="1"/>
        <v>5000</v>
      </c>
      <c r="P17" t="s">
        <v>115</v>
      </c>
    </row>
    <row r="18" spans="1:16" x14ac:dyDescent="0.35">
      <c r="A18" s="1" t="s">
        <v>79</v>
      </c>
      <c r="B18" t="s">
        <v>2</v>
      </c>
      <c r="C18" s="1" t="s">
        <v>4</v>
      </c>
      <c r="D18" s="1" t="s">
        <v>40</v>
      </c>
      <c r="E18" s="1" t="s">
        <v>57</v>
      </c>
      <c r="F18" s="1" t="s">
        <v>19</v>
      </c>
      <c r="G18" s="1" t="s">
        <v>29</v>
      </c>
      <c r="H18" s="1" t="s">
        <v>41</v>
      </c>
      <c r="I18" s="1">
        <v>22000</v>
      </c>
      <c r="K18">
        <f t="shared" si="0"/>
        <v>22000</v>
      </c>
      <c r="L18" s="1">
        <v>30000</v>
      </c>
      <c r="M18" s="1">
        <v>3</v>
      </c>
      <c r="N18" s="1">
        <v>3000</v>
      </c>
      <c r="O18">
        <f t="shared" si="1"/>
        <v>5000</v>
      </c>
      <c r="P18" t="s">
        <v>115</v>
      </c>
    </row>
    <row r="19" spans="1:16" x14ac:dyDescent="0.35">
      <c r="A19" s="1" t="s">
        <v>80</v>
      </c>
      <c r="B19" t="s">
        <v>2</v>
      </c>
      <c r="C19" s="1" t="s">
        <v>4</v>
      </c>
      <c r="D19" s="1" t="s">
        <v>40</v>
      </c>
      <c r="E19" s="1" t="s">
        <v>57</v>
      </c>
      <c r="F19" s="1" t="s">
        <v>11</v>
      </c>
      <c r="G19" s="1" t="s">
        <v>29</v>
      </c>
      <c r="H19" s="1" t="s">
        <v>42</v>
      </c>
      <c r="I19" s="1">
        <v>20000</v>
      </c>
      <c r="K19">
        <f t="shared" si="0"/>
        <v>20000</v>
      </c>
      <c r="L19" s="1">
        <v>30000</v>
      </c>
      <c r="M19" s="1">
        <v>2</v>
      </c>
      <c r="N19" s="1">
        <v>5000</v>
      </c>
      <c r="O19">
        <f t="shared" si="1"/>
        <v>5000</v>
      </c>
      <c r="P19" t="s">
        <v>116</v>
      </c>
    </row>
    <row r="20" spans="1:16" x14ac:dyDescent="0.35">
      <c r="A20" s="1" t="s">
        <v>81</v>
      </c>
      <c r="B20" t="s">
        <v>2</v>
      </c>
      <c r="C20" s="1" t="s">
        <v>4</v>
      </c>
      <c r="D20" s="1" t="s">
        <v>40</v>
      </c>
      <c r="E20" s="1" t="s">
        <v>57</v>
      </c>
      <c r="F20" s="1" t="s">
        <v>19</v>
      </c>
      <c r="G20" s="1" t="s">
        <v>29</v>
      </c>
      <c r="H20" s="1" t="s">
        <v>42</v>
      </c>
      <c r="I20" s="1">
        <v>20000</v>
      </c>
      <c r="K20">
        <f t="shared" si="0"/>
        <v>20000</v>
      </c>
      <c r="L20" s="1">
        <v>30000</v>
      </c>
      <c r="M20" s="1">
        <v>2</v>
      </c>
      <c r="N20" s="1">
        <v>5000</v>
      </c>
      <c r="O20">
        <f t="shared" si="1"/>
        <v>5000</v>
      </c>
      <c r="P20" t="s">
        <v>116</v>
      </c>
    </row>
    <row r="21" spans="1:16" x14ac:dyDescent="0.35">
      <c r="A21" s="1" t="s">
        <v>82</v>
      </c>
      <c r="B21" t="s">
        <v>2</v>
      </c>
      <c r="C21" s="1" t="s">
        <v>4</v>
      </c>
      <c r="D21" s="1" t="s">
        <v>44</v>
      </c>
      <c r="E21" s="1" t="s">
        <v>44</v>
      </c>
      <c r="F21" s="1" t="s">
        <v>11</v>
      </c>
      <c r="G21" s="1" t="s">
        <v>29</v>
      </c>
      <c r="H21" s="1" t="s">
        <v>12</v>
      </c>
      <c r="I21" s="1">
        <f>69000/6</f>
        <v>11500</v>
      </c>
      <c r="K21">
        <f t="shared" si="0"/>
        <v>11500</v>
      </c>
      <c r="L21" s="1">
        <v>20000</v>
      </c>
      <c r="M21" s="1">
        <v>1</v>
      </c>
      <c r="N21" s="1">
        <v>3500</v>
      </c>
      <c r="O21">
        <f t="shared" si="1"/>
        <v>5000</v>
      </c>
      <c r="P21" t="s">
        <v>117</v>
      </c>
    </row>
    <row r="22" spans="1:16" x14ac:dyDescent="0.35">
      <c r="A22" s="1" t="s">
        <v>83</v>
      </c>
      <c r="B22" t="s">
        <v>2</v>
      </c>
      <c r="C22" s="1" t="s">
        <v>4</v>
      </c>
      <c r="D22" s="1" t="s">
        <v>44</v>
      </c>
      <c r="E22" s="1" t="s">
        <v>44</v>
      </c>
      <c r="F22" s="1" t="s">
        <v>11</v>
      </c>
      <c r="G22" s="1" t="s">
        <v>29</v>
      </c>
      <c r="H22" s="1" t="s">
        <v>45</v>
      </c>
      <c r="I22" s="1">
        <f t="shared" ref="I22:I25" si="3">69000/6</f>
        <v>11500</v>
      </c>
      <c r="K22">
        <f t="shared" si="0"/>
        <v>11500</v>
      </c>
      <c r="L22" s="1">
        <v>20000</v>
      </c>
      <c r="M22" s="1">
        <v>1</v>
      </c>
      <c r="N22" s="1">
        <v>3500</v>
      </c>
      <c r="O22">
        <f t="shared" si="1"/>
        <v>5000</v>
      </c>
      <c r="P22" t="s">
        <v>120</v>
      </c>
    </row>
    <row r="23" spans="1:16" x14ac:dyDescent="0.35">
      <c r="A23" s="1" t="s">
        <v>84</v>
      </c>
      <c r="B23" t="s">
        <v>2</v>
      </c>
      <c r="C23" s="1" t="s">
        <v>4</v>
      </c>
      <c r="D23" s="1" t="s">
        <v>44</v>
      </c>
      <c r="E23" s="1" t="s">
        <v>44</v>
      </c>
      <c r="F23" s="1" t="s">
        <v>11</v>
      </c>
      <c r="G23" s="1" t="s">
        <v>29</v>
      </c>
      <c r="H23" s="1" t="s">
        <v>39</v>
      </c>
      <c r="I23" s="1">
        <f t="shared" si="3"/>
        <v>11500</v>
      </c>
      <c r="K23">
        <f t="shared" si="0"/>
        <v>11500</v>
      </c>
      <c r="L23" s="1">
        <v>20000</v>
      </c>
      <c r="M23" s="1">
        <v>1</v>
      </c>
      <c r="N23" s="1">
        <v>3500</v>
      </c>
      <c r="O23">
        <f t="shared" si="1"/>
        <v>5000</v>
      </c>
      <c r="P23" t="s">
        <v>118</v>
      </c>
    </row>
    <row r="24" spans="1:16" x14ac:dyDescent="0.35">
      <c r="A24" s="1" t="s">
        <v>85</v>
      </c>
      <c r="B24" t="s">
        <v>2</v>
      </c>
      <c r="C24" s="1" t="s">
        <v>4</v>
      </c>
      <c r="D24" s="1" t="s">
        <v>44</v>
      </c>
      <c r="E24" s="1" t="s">
        <v>44</v>
      </c>
      <c r="F24" s="1" t="s">
        <v>11</v>
      </c>
      <c r="G24" s="1" t="s">
        <v>29</v>
      </c>
      <c r="H24" s="1" t="s">
        <v>46</v>
      </c>
      <c r="I24" s="1">
        <f t="shared" si="3"/>
        <v>11500</v>
      </c>
      <c r="K24">
        <f t="shared" si="0"/>
        <v>11500</v>
      </c>
      <c r="L24" s="1">
        <v>20000</v>
      </c>
      <c r="M24" s="1">
        <v>1</v>
      </c>
      <c r="N24" s="1">
        <v>3500</v>
      </c>
      <c r="O24">
        <f t="shared" si="1"/>
        <v>5000</v>
      </c>
      <c r="P24" t="s">
        <v>119</v>
      </c>
    </row>
    <row r="25" spans="1:16" x14ac:dyDescent="0.35">
      <c r="A25" s="1" t="s">
        <v>86</v>
      </c>
      <c r="B25" t="s">
        <v>2</v>
      </c>
      <c r="C25" s="1" t="s">
        <v>4</v>
      </c>
      <c r="D25" s="1" t="s">
        <v>44</v>
      </c>
      <c r="E25" s="1" t="s">
        <v>44</v>
      </c>
      <c r="F25" s="1" t="s">
        <v>11</v>
      </c>
      <c r="G25" s="1" t="s">
        <v>29</v>
      </c>
      <c r="H25" s="1" t="s">
        <v>122</v>
      </c>
      <c r="I25" s="1">
        <f t="shared" si="3"/>
        <v>11500</v>
      </c>
      <c r="K25">
        <f t="shared" si="0"/>
        <v>11500</v>
      </c>
      <c r="L25" s="1">
        <v>20000</v>
      </c>
      <c r="M25" s="1">
        <v>1</v>
      </c>
      <c r="N25" s="1">
        <v>3500</v>
      </c>
      <c r="O25">
        <f t="shared" si="1"/>
        <v>5000</v>
      </c>
      <c r="P25" t="s">
        <v>121</v>
      </c>
    </row>
    <row r="26" spans="1:16" x14ac:dyDescent="0.35">
      <c r="A26" s="1" t="s">
        <v>87</v>
      </c>
      <c r="B26" t="s">
        <v>2</v>
      </c>
      <c r="C26" s="1" t="s">
        <v>50</v>
      </c>
      <c r="D26" s="1" t="s">
        <v>51</v>
      </c>
      <c r="E26" s="1" t="s">
        <v>52</v>
      </c>
      <c r="F26" s="1"/>
      <c r="G26" s="1"/>
      <c r="H26" s="1" t="s">
        <v>12</v>
      </c>
      <c r="I26" s="1">
        <f>38000/5</f>
        <v>7600</v>
      </c>
      <c r="K26">
        <f t="shared" si="0"/>
        <v>7600</v>
      </c>
      <c r="L26" s="1">
        <v>14000</v>
      </c>
      <c r="M26" s="1">
        <v>1</v>
      </c>
      <c r="N26" s="1">
        <v>2400</v>
      </c>
      <c r="O26">
        <f t="shared" si="1"/>
        <v>4000</v>
      </c>
      <c r="P26" t="s">
        <v>101</v>
      </c>
    </row>
    <row r="27" spans="1:16" x14ac:dyDescent="0.35">
      <c r="A27" s="1" t="s">
        <v>88</v>
      </c>
      <c r="B27" t="s">
        <v>2</v>
      </c>
      <c r="C27" s="1" t="s">
        <v>50</v>
      </c>
      <c r="D27" s="1" t="s">
        <v>51</v>
      </c>
      <c r="E27" s="1" t="s">
        <v>52</v>
      </c>
      <c r="F27" s="1"/>
      <c r="G27" s="1"/>
      <c r="H27" s="1" t="s">
        <v>38</v>
      </c>
      <c r="I27" s="1">
        <f t="shared" ref="I27:I31" si="4">38000/5</f>
        <v>7600</v>
      </c>
      <c r="K27">
        <f t="shared" si="0"/>
        <v>7600</v>
      </c>
      <c r="L27" s="1">
        <v>14000</v>
      </c>
      <c r="M27" s="1">
        <v>1</v>
      </c>
      <c r="N27" s="1">
        <v>2400</v>
      </c>
      <c r="O27">
        <f t="shared" si="1"/>
        <v>4000</v>
      </c>
      <c r="P27" t="s">
        <v>102</v>
      </c>
    </row>
    <row r="28" spans="1:16" x14ac:dyDescent="0.35">
      <c r="A28" s="1" t="s">
        <v>89</v>
      </c>
      <c r="B28" t="s">
        <v>2</v>
      </c>
      <c r="C28" s="1" t="s">
        <v>50</v>
      </c>
      <c r="D28" s="1" t="s">
        <v>51</v>
      </c>
      <c r="E28" s="1" t="s">
        <v>52</v>
      </c>
      <c r="F28" s="1"/>
      <c r="G28" s="1"/>
      <c r="H28" s="1" t="s">
        <v>69</v>
      </c>
      <c r="I28" s="1">
        <f t="shared" si="4"/>
        <v>7600</v>
      </c>
      <c r="K28">
        <f t="shared" si="0"/>
        <v>7600</v>
      </c>
      <c r="L28" s="1">
        <v>14000</v>
      </c>
      <c r="M28" s="1">
        <v>1</v>
      </c>
      <c r="N28" s="1">
        <v>2400</v>
      </c>
      <c r="O28">
        <f t="shared" si="1"/>
        <v>4000</v>
      </c>
      <c r="P28" t="s">
        <v>105</v>
      </c>
    </row>
    <row r="29" spans="1:16" x14ac:dyDescent="0.35">
      <c r="A29" s="1" t="s">
        <v>90</v>
      </c>
      <c r="B29" t="s">
        <v>2</v>
      </c>
      <c r="C29" s="1" t="s">
        <v>50</v>
      </c>
      <c r="D29" s="1" t="s">
        <v>51</v>
      </c>
      <c r="E29" s="1" t="s">
        <v>52</v>
      </c>
      <c r="F29" s="1"/>
      <c r="G29" s="1"/>
      <c r="H29" s="1" t="s">
        <v>70</v>
      </c>
      <c r="I29" s="1">
        <f t="shared" si="4"/>
        <v>7600</v>
      </c>
      <c r="K29">
        <f t="shared" si="0"/>
        <v>7600</v>
      </c>
      <c r="L29" s="1">
        <v>14000</v>
      </c>
      <c r="M29" s="1">
        <v>1</v>
      </c>
      <c r="N29" s="1">
        <v>2400</v>
      </c>
      <c r="O29">
        <f t="shared" si="1"/>
        <v>4000</v>
      </c>
      <c r="P29" t="s">
        <v>106</v>
      </c>
    </row>
    <row r="30" spans="1:16" x14ac:dyDescent="0.35">
      <c r="A30" s="1" t="s">
        <v>91</v>
      </c>
      <c r="B30" t="s">
        <v>2</v>
      </c>
      <c r="C30" s="1" t="s">
        <v>50</v>
      </c>
      <c r="D30" s="1" t="s">
        <v>51</v>
      </c>
      <c r="E30" s="1" t="s">
        <v>52</v>
      </c>
      <c r="F30" s="1"/>
      <c r="G30" s="1"/>
      <c r="H30" s="1" t="s">
        <v>59</v>
      </c>
      <c r="I30" s="1">
        <f t="shared" si="4"/>
        <v>7600</v>
      </c>
      <c r="K30">
        <f t="shared" si="0"/>
        <v>7600</v>
      </c>
      <c r="L30" s="1">
        <v>14000</v>
      </c>
      <c r="M30" s="1">
        <v>1</v>
      </c>
      <c r="N30" s="1">
        <v>2400</v>
      </c>
      <c r="O30">
        <f t="shared" si="1"/>
        <v>4000</v>
      </c>
      <c r="P30" t="s">
        <v>103</v>
      </c>
    </row>
    <row r="31" spans="1:16" x14ac:dyDescent="0.35">
      <c r="A31" s="1" t="s">
        <v>108</v>
      </c>
      <c r="B31" t="s">
        <v>2</v>
      </c>
      <c r="C31" s="1" t="s">
        <v>50</v>
      </c>
      <c r="D31" s="1" t="s">
        <v>51</v>
      </c>
      <c r="E31" s="1" t="s">
        <v>52</v>
      </c>
      <c r="F31" s="1"/>
      <c r="G31" s="1"/>
      <c r="H31" s="1" t="s">
        <v>47</v>
      </c>
      <c r="I31" s="1">
        <f t="shared" si="4"/>
        <v>7600</v>
      </c>
      <c r="K31">
        <f t="shared" si="0"/>
        <v>7600</v>
      </c>
      <c r="L31" s="1">
        <v>14000</v>
      </c>
      <c r="M31" s="1">
        <v>1</v>
      </c>
      <c r="N31" s="1">
        <v>2400</v>
      </c>
      <c r="O31">
        <f t="shared" si="1"/>
        <v>4000</v>
      </c>
      <c r="P31" t="s">
        <v>104</v>
      </c>
    </row>
    <row r="32" spans="1:16" x14ac:dyDescent="0.35">
      <c r="A32" s="1" t="s">
        <v>92</v>
      </c>
      <c r="B32" t="s">
        <v>2</v>
      </c>
      <c r="C32" s="1" t="s">
        <v>50</v>
      </c>
      <c r="D32" s="1" t="s">
        <v>51</v>
      </c>
      <c r="E32" s="1" t="s">
        <v>71</v>
      </c>
      <c r="F32" s="1"/>
      <c r="G32" s="1"/>
      <c r="H32" s="1" t="s">
        <v>47</v>
      </c>
      <c r="I32" s="1">
        <v>10600</v>
      </c>
      <c r="K32">
        <f t="shared" si="0"/>
        <v>10600</v>
      </c>
      <c r="L32" s="1">
        <v>18000</v>
      </c>
      <c r="M32" s="1">
        <v>1</v>
      </c>
      <c r="N32" s="1">
        <v>2400</v>
      </c>
      <c r="O32">
        <f t="shared" si="1"/>
        <v>5000</v>
      </c>
      <c r="P32" t="s">
        <v>107</v>
      </c>
    </row>
    <row r="33" spans="1:16" x14ac:dyDescent="0.35">
      <c r="A33" s="1" t="s">
        <v>93</v>
      </c>
      <c r="B33" t="s">
        <v>2</v>
      </c>
      <c r="C33" s="1" t="s">
        <v>4</v>
      </c>
      <c r="D33" s="1" t="s">
        <v>62</v>
      </c>
      <c r="E33" s="1" t="s">
        <v>64</v>
      </c>
      <c r="F33" s="1" t="s">
        <v>67</v>
      </c>
      <c r="G33" s="1" t="s">
        <v>29</v>
      </c>
      <c r="H33" s="1" t="s">
        <v>41</v>
      </c>
      <c r="I33">
        <v>0</v>
      </c>
      <c r="K33">
        <f t="shared" si="0"/>
        <v>0</v>
      </c>
      <c r="L33" s="1">
        <v>20000</v>
      </c>
      <c r="M33" s="1">
        <v>1</v>
      </c>
      <c r="N33" s="1">
        <v>8000</v>
      </c>
      <c r="O33">
        <f t="shared" si="1"/>
        <v>12000</v>
      </c>
      <c r="P33" t="s">
        <v>123</v>
      </c>
    </row>
    <row r="34" spans="1:16" x14ac:dyDescent="0.35">
      <c r="A34" s="1" t="s">
        <v>94</v>
      </c>
      <c r="B34" t="s">
        <v>2</v>
      </c>
      <c r="C34" s="1" t="s">
        <v>4</v>
      </c>
      <c r="D34" s="1" t="s">
        <v>44</v>
      </c>
      <c r="E34" s="1" t="s">
        <v>65</v>
      </c>
      <c r="F34" s="1" t="s">
        <v>67</v>
      </c>
      <c r="G34" s="1" t="s">
        <v>29</v>
      </c>
      <c r="H34" s="1" t="s">
        <v>68</v>
      </c>
      <c r="I34">
        <v>0</v>
      </c>
      <c r="K34">
        <f t="shared" si="0"/>
        <v>0</v>
      </c>
      <c r="L34" s="1">
        <v>20000</v>
      </c>
      <c r="M34" s="1">
        <v>1</v>
      </c>
      <c r="N34" s="1">
        <v>8000</v>
      </c>
      <c r="O34">
        <f t="shared" si="1"/>
        <v>12000</v>
      </c>
      <c r="P34" t="s">
        <v>109</v>
      </c>
    </row>
    <row r="35" spans="1:16" x14ac:dyDescent="0.35">
      <c r="A35" s="1" t="s">
        <v>95</v>
      </c>
      <c r="B35" t="s">
        <v>2</v>
      </c>
      <c r="C35" s="1" t="s">
        <v>4</v>
      </c>
      <c r="D35" s="1" t="s">
        <v>63</v>
      </c>
      <c r="E35" s="1" t="s">
        <v>66</v>
      </c>
      <c r="F35" s="1" t="s">
        <v>67</v>
      </c>
      <c r="G35" s="1" t="s">
        <v>29</v>
      </c>
      <c r="H35" s="1" t="s">
        <v>39</v>
      </c>
      <c r="I35" s="1">
        <v>0</v>
      </c>
      <c r="K35">
        <f t="shared" si="0"/>
        <v>0</v>
      </c>
      <c r="L35" s="1">
        <v>20000</v>
      </c>
      <c r="M35" s="1">
        <v>1</v>
      </c>
      <c r="N35" s="1">
        <v>8000</v>
      </c>
      <c r="O35">
        <f t="shared" si="1"/>
        <v>12000</v>
      </c>
      <c r="P35" t="s">
        <v>63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A63C1-3459-486D-9C37-CAC7F675D9A7}">
  <dimension ref="A1:A21"/>
  <sheetViews>
    <sheetView workbookViewId="0">
      <selection activeCell="A6" sqref="A6"/>
    </sheetView>
  </sheetViews>
  <sheetFormatPr baseColWidth="10" defaultRowHeight="14.5" x14ac:dyDescent="0.35"/>
  <cols>
    <col min="1" max="1" width="12.81640625" customWidth="1"/>
  </cols>
  <sheetData>
    <row r="1" spans="1:1" x14ac:dyDescent="0.35">
      <c r="A1" s="3" t="s">
        <v>96</v>
      </c>
    </row>
    <row r="2" spans="1:1" x14ac:dyDescent="0.35">
      <c r="A2" s="1" t="s">
        <v>97</v>
      </c>
    </row>
    <row r="3" spans="1:1" x14ac:dyDescent="0.35">
      <c r="A3" s="1"/>
    </row>
    <row r="4" spans="1:1" x14ac:dyDescent="0.35">
      <c r="A4" s="1"/>
    </row>
    <row r="5" spans="1:1" x14ac:dyDescent="0.35">
      <c r="A5" s="1"/>
    </row>
    <row r="6" spans="1:1" x14ac:dyDescent="0.35">
      <c r="A6" s="1"/>
    </row>
    <row r="7" spans="1:1" x14ac:dyDescent="0.35">
      <c r="A7" s="1"/>
    </row>
    <row r="8" spans="1:1" x14ac:dyDescent="0.35">
      <c r="A8" s="1"/>
    </row>
    <row r="9" spans="1:1" x14ac:dyDescent="0.35">
      <c r="A9" s="1"/>
    </row>
    <row r="10" spans="1:1" x14ac:dyDescent="0.35">
      <c r="A10" s="1"/>
    </row>
    <row r="11" spans="1:1" x14ac:dyDescent="0.35">
      <c r="A11" s="1"/>
    </row>
    <row r="12" spans="1:1" x14ac:dyDescent="0.35">
      <c r="A12" s="1"/>
    </row>
    <row r="13" spans="1:1" x14ac:dyDescent="0.35">
      <c r="A13" s="1"/>
    </row>
    <row r="14" spans="1:1" x14ac:dyDescent="0.35">
      <c r="A14" s="1"/>
    </row>
    <row r="15" spans="1:1" x14ac:dyDescent="0.35">
      <c r="A15" s="1"/>
    </row>
    <row r="16" spans="1:1" x14ac:dyDescent="0.35">
      <c r="A16" s="1"/>
    </row>
    <row r="17" spans="1:1" x14ac:dyDescent="0.35">
      <c r="A17" s="1"/>
    </row>
    <row r="18" spans="1:1" x14ac:dyDescent="0.35">
      <c r="A18" s="1"/>
    </row>
    <row r="19" spans="1:1" x14ac:dyDescent="0.35">
      <c r="A19" s="1"/>
    </row>
    <row r="20" spans="1:1" x14ac:dyDescent="0.35">
      <c r="A20" s="1"/>
    </row>
    <row r="21" spans="1:1" x14ac:dyDescent="0.35">
      <c r="A2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Alberto Mendoza Villalba</dc:creator>
  <cp:lastModifiedBy>Mario Alberto Mendoza Villalba</cp:lastModifiedBy>
  <dcterms:created xsi:type="dcterms:W3CDTF">2026-08-08T23:21:55Z</dcterms:created>
  <dcterms:modified xsi:type="dcterms:W3CDTF">2026-08-10T23:34:45Z</dcterms:modified>
</cp:coreProperties>
</file>